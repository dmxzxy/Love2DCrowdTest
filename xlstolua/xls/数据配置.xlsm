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yuyu\策划\数值\"/>
    </mc:Choice>
  </mc:AlternateContent>
  <bookViews>
    <workbookView xWindow="0" yWindow="0" windowWidth="12000" windowHeight="7140" tabRatio="907" activeTab="1"/>
  </bookViews>
  <sheets>
    <sheet name="数据表规范" sheetId="28" r:id="rId1"/>
    <sheet name="item" sheetId="24" r:id="rId2"/>
    <sheet name="UIString" sheetId="27" r:id="rId3"/>
    <sheet name="language_cn" sheetId="25" r:id="rId4"/>
    <sheet name="language_en" sheetId="26" r:id="rId5"/>
  </sheets>
  <functionGroups builtInGroupCount="18"/>
  <externalReferences>
    <externalReference r:id="rId6"/>
  </externalReferences>
  <definedNames>
    <definedName name="CP_单份">[1]战斗参数!$H$42</definedName>
    <definedName name="CP_战斗力">[1]战斗参数!$J$42</definedName>
    <definedName name="CPCost_单份">[1]战斗参数!$E$24</definedName>
    <definedName name="CP恢复_单份">[1]战斗参数!$E$9</definedName>
    <definedName name="CP强化_单份">[1]战斗参数!$E$9</definedName>
    <definedName name="HP_单份">[1]战斗参数!$E$8</definedName>
    <definedName name="版本号">#REF!</definedName>
    <definedName name="单份_战斗力">[1]战斗参数!$G$25</definedName>
    <definedName name="金币_单份通用">[1]经济参数!$F$4</definedName>
    <definedName name="金币份数_炼金机">[1]每日产出!$V$109</definedName>
    <definedName name="经验_单份通用">[1]经济参数!$I$4</definedName>
    <definedName name="力量_单份">[1]战斗参数!$H$13</definedName>
    <definedName name="力量_战斗力">[1]战斗参数!$J$13</definedName>
    <definedName name="灵防_单份">[1]战斗参数!$E$13</definedName>
    <definedName name="灵攻_单份">[1]战斗参数!$E$12</definedName>
    <definedName name="灵压比值">item!$C$2</definedName>
    <definedName name="灵子_单份通用">[1]经济参数!$T$16</definedName>
    <definedName name="灵子份数_竞技场单场">[1]每日产出!$W$124</definedName>
    <definedName name="伤害_单份">[1]战斗参数!$E$20</definedName>
    <definedName name="升星灵压属性份数比">item!#REF!</definedName>
    <definedName name="文件夹名">#REF!</definedName>
    <definedName name="物防_单份">[1]战斗参数!$E$11</definedName>
    <definedName name="物攻_单份">[1]战斗参数!$E$10</definedName>
    <definedName name="战斗力_单份通用">[1]经济参数!$T$16</definedName>
  </definedNames>
  <calcPr calcId="152511"/>
</workbook>
</file>

<file path=xl/calcChain.xml><?xml version="1.0" encoding="utf-8"?>
<calcChain xmlns="http://schemas.openxmlformats.org/spreadsheetml/2006/main">
  <c r="T8" i="24" l="1"/>
  <c r="M9" i="24"/>
  <c r="T4" i="24"/>
  <c r="M8" i="24"/>
  <c r="M7" i="24"/>
  <c r="M6" i="24"/>
  <c r="M4" i="24"/>
  <c r="T6" i="24"/>
  <c r="T5" i="24"/>
  <c r="T10" i="24"/>
  <c r="T7" i="24"/>
  <c r="M5" i="24"/>
  <c r="T9" i="24"/>
  <c r="M10" i="24"/>
</calcChain>
</file>

<file path=xl/sharedStrings.xml><?xml version="1.0" encoding="utf-8"?>
<sst xmlns="http://schemas.openxmlformats.org/spreadsheetml/2006/main" count="197" uniqueCount="120">
  <si>
    <t>$</t>
  </si>
  <si>
    <t>!</t>
  </si>
  <si>
    <t>#</t>
  </si>
  <si>
    <t>Array</t>
    <phoneticPr fontId="5" type="noConversion"/>
  </si>
  <si>
    <t>id</t>
  </si>
  <si>
    <t>ID</t>
    <phoneticPr fontId="5" type="noConversion"/>
  </si>
  <si>
    <t>名称</t>
    <phoneticPr fontId="5" type="noConversion"/>
  </si>
  <si>
    <t>描述</t>
    <phoneticPr fontId="5" type="noConversion"/>
  </si>
  <si>
    <t>int</t>
    <phoneticPr fontId="5" type="noConversion"/>
  </si>
  <si>
    <t>Array</t>
    <phoneticPr fontId="5" type="noConversion"/>
  </si>
  <si>
    <t>int</t>
    <phoneticPr fontId="5" type="noConversion"/>
  </si>
  <si>
    <t>lang</t>
    <phoneticPr fontId="5" type="noConversion"/>
  </si>
  <si>
    <t>道具A</t>
    <phoneticPr fontId="5" type="noConversion"/>
  </si>
  <si>
    <t>道具B</t>
    <phoneticPr fontId="5" type="noConversion"/>
  </si>
  <si>
    <t>道具C</t>
    <phoneticPr fontId="5" type="noConversion"/>
  </si>
  <si>
    <t>道具D</t>
    <phoneticPr fontId="5" type="noConversion"/>
  </si>
  <si>
    <t>道具E</t>
    <phoneticPr fontId="5" type="noConversion"/>
  </si>
  <si>
    <t>道具A的描述</t>
  </si>
  <si>
    <t>道具B的描述</t>
  </si>
  <si>
    <t>道具C的描述</t>
  </si>
  <si>
    <t>道具D的描述</t>
  </si>
  <si>
    <t>道具E的描述</t>
  </si>
  <si>
    <t>道具C的描述</t>
    <phoneticPr fontId="5" type="noConversion"/>
  </si>
  <si>
    <t>value</t>
    <phoneticPr fontId="5" type="noConversion"/>
  </si>
  <si>
    <t>数值</t>
    <phoneticPr fontId="5" type="noConversion"/>
  </si>
  <si>
    <t>singleArray</t>
    <phoneticPr fontId="5" type="noConversion"/>
  </si>
  <si>
    <t>doubleArray</t>
    <phoneticPr fontId="5" type="noConversion"/>
  </si>
  <si>
    <t>name</t>
    <phoneticPr fontId="5" type="noConversion"/>
  </si>
  <si>
    <t>desc</t>
    <phoneticPr fontId="5" type="noConversion"/>
  </si>
  <si>
    <t>一维数组</t>
    <phoneticPr fontId="5" type="noConversion"/>
  </si>
  <si>
    <t>二维数组</t>
    <phoneticPr fontId="5" type="noConversion"/>
  </si>
  <si>
    <t>int</t>
    <phoneticPr fontId="5" type="noConversion"/>
  </si>
  <si>
    <t>logicValue</t>
    <phoneticPr fontId="5" type="noConversion"/>
  </si>
  <si>
    <t>布尔</t>
    <phoneticPr fontId="5" type="noConversion"/>
  </si>
  <si>
    <t>1.表格结构及内容</t>
    <phoneticPr fontId="5" type="noConversion"/>
  </si>
  <si>
    <t>singleArray:[</t>
    <phoneticPr fontId="5" type="noConversion"/>
  </si>
  <si>
    <t>]</t>
    <phoneticPr fontId="5" type="noConversion"/>
  </si>
  <si>
    <t>数组[0]</t>
    <phoneticPr fontId="5" type="noConversion"/>
  </si>
  <si>
    <t>数组[1]</t>
  </si>
  <si>
    <t>数组[2]</t>
  </si>
  <si>
    <t>数组[0,0]</t>
    <phoneticPr fontId="5" type="noConversion"/>
  </si>
  <si>
    <t>数组[0,1]</t>
  </si>
  <si>
    <t>数组[0,2]</t>
  </si>
  <si>
    <t>数组[1,0]</t>
    <phoneticPr fontId="5" type="noConversion"/>
  </si>
  <si>
    <t>数组[1,1]</t>
  </si>
  <si>
    <t>数组[1,2]</t>
  </si>
  <si>
    <t>3.语言包提取及替换</t>
    <phoneticPr fontId="5" type="noConversion"/>
  </si>
  <si>
    <t>2..版本分支使用的流程</t>
    <phoneticPr fontId="5" type="noConversion"/>
  </si>
  <si>
    <t xml:space="preserve">    修改字段类型时，新旧版本无法并存。（解决方案：新版本采用新字段名）</t>
    <phoneticPr fontId="5" type="noConversion"/>
  </si>
  <si>
    <t xml:space="preserve">    A需要修改线上配置，B需要进行开发。（解决方案：B等待A或者同之前一样进行合并）</t>
    <phoneticPr fontId="5" type="noConversion"/>
  </si>
  <si>
    <t>可能遇到的问题：</t>
    <phoneticPr fontId="5" type="noConversion"/>
  </si>
  <si>
    <t xml:space="preserve">    B与C同时使用同一个excel进行开发。（解决方案：同之前流程）</t>
    <phoneticPr fontId="5" type="noConversion"/>
  </si>
  <si>
    <t>工具需求：</t>
    <phoneticPr fontId="5" type="noConversion"/>
  </si>
  <si>
    <t xml:space="preserve">   根据策划填入的版本号生成配置时，取小于等于该版本号的配置条目，同ID取符合规则的最高版本号。</t>
    <phoneticPr fontId="5" type="noConversion"/>
  </si>
  <si>
    <t>道具C</t>
  </si>
  <si>
    <t>道具C</t>
    <phoneticPr fontId="5" type="noConversion"/>
  </si>
  <si>
    <t xml:space="preserve">   抓取配置的SVN路径有默认值并可进行配置及保存。</t>
    <phoneticPr fontId="5" type="noConversion"/>
  </si>
  <si>
    <t xml:space="preserve">   版本号默认值为0，等同于导出最高版本号的所有配置。默认值自动保存上次填入的值。</t>
    <phoneticPr fontId="5" type="noConversion"/>
  </si>
  <si>
    <t>String</t>
    <phoneticPr fontId="5" type="noConversion"/>
  </si>
  <si>
    <t>key</t>
    <phoneticPr fontId="5" type="noConversion"/>
  </si>
  <si>
    <t>索引文本</t>
    <phoneticPr fontId="5" type="noConversion"/>
  </si>
  <si>
    <t>Skip</t>
    <phoneticPr fontId="5" type="noConversion"/>
  </si>
  <si>
    <t>module</t>
    <phoneticPr fontId="5" type="noConversion"/>
  </si>
  <si>
    <t>模块</t>
    <phoneticPr fontId="5" type="noConversion"/>
  </si>
  <si>
    <t>内容</t>
    <phoneticPr fontId="5" type="noConversion"/>
  </si>
  <si>
    <t>是否使用{0}个{1}？</t>
  </si>
  <si>
    <t>是否使用{0}个{1}？</t>
    <phoneticPr fontId="5" type="noConversion"/>
  </si>
  <si>
    <t>bag</t>
    <phoneticPr fontId="5" type="noConversion"/>
  </si>
  <si>
    <t>确  定</t>
  </si>
  <si>
    <t>确  定</t>
    <phoneticPr fontId="5" type="noConversion"/>
  </si>
  <si>
    <t>取  消</t>
  </si>
  <si>
    <t>取  消</t>
    <phoneticPr fontId="5" type="noConversion"/>
  </si>
  <si>
    <t>物品数量已达上限。</t>
  </si>
  <si>
    <t>物品数量已达上限。</t>
    <phoneticPr fontId="5" type="noConversion"/>
  </si>
  <si>
    <t>背包已满，请扩充背包。</t>
    <phoneticPr fontId="5" type="noConversion"/>
  </si>
  <si>
    <t>语言内容</t>
    <phoneticPr fontId="5" type="noConversion"/>
  </si>
  <si>
    <t>道具A</t>
  </si>
  <si>
    <t>道具B</t>
  </si>
  <si>
    <t>道具D</t>
  </si>
  <si>
    <t>道具E</t>
  </si>
  <si>
    <t>String</t>
    <phoneticPr fontId="5" type="noConversion"/>
  </si>
  <si>
    <t>textContent</t>
    <phoneticPr fontId="5" type="noConversion"/>
  </si>
  <si>
    <t>简体语言</t>
    <phoneticPr fontId="5" type="noConversion"/>
  </si>
  <si>
    <t xml:space="preserve">Use item {0} x {1} </t>
    <phoneticPr fontId="5" type="noConversion"/>
  </si>
  <si>
    <t>The number of items has reached the limit.</t>
    <phoneticPr fontId="5" type="noConversion"/>
  </si>
  <si>
    <t>Confirm</t>
    <phoneticPr fontId="5" type="noConversion"/>
  </si>
  <si>
    <t>Cancel</t>
    <phoneticPr fontId="5" type="noConversion"/>
  </si>
  <si>
    <t>ItemA</t>
    <phoneticPr fontId="5" type="noConversion"/>
  </si>
  <si>
    <t>ItemB</t>
    <phoneticPr fontId="5" type="noConversion"/>
  </si>
  <si>
    <t>ItemC</t>
    <phoneticPr fontId="5" type="noConversion"/>
  </si>
  <si>
    <t>ItemD</t>
    <phoneticPr fontId="5" type="noConversion"/>
  </si>
  <si>
    <t>ItemE</t>
    <phoneticPr fontId="5" type="noConversion"/>
  </si>
  <si>
    <t>ItemA's description.</t>
  </si>
  <si>
    <t>ItemB's description.</t>
  </si>
  <si>
    <t>ItemC's description.</t>
  </si>
  <si>
    <t>ItemD's description.</t>
  </si>
  <si>
    <t>ItemE's description.</t>
  </si>
  <si>
    <t>字符长度</t>
    <phoneticPr fontId="5" type="noConversion"/>
  </si>
  <si>
    <t>length</t>
    <phoneticPr fontId="5" type="noConversion"/>
  </si>
  <si>
    <t>策划用</t>
    <phoneticPr fontId="5" type="noConversion"/>
  </si>
  <si>
    <t>备注</t>
    <phoneticPr fontId="5" type="noConversion"/>
  </si>
  <si>
    <t>textKey</t>
    <phoneticPr fontId="5" type="noConversion"/>
  </si>
  <si>
    <t>String</t>
    <phoneticPr fontId="5" type="noConversion"/>
  </si>
  <si>
    <t>textContent</t>
    <phoneticPr fontId="5" type="noConversion"/>
  </si>
  <si>
    <t>实际使用</t>
    <phoneticPr fontId="5" type="noConversion"/>
  </si>
  <si>
    <t>背包已满，请扩充背包。</t>
    <phoneticPr fontId="5" type="noConversion"/>
  </si>
  <si>
    <t xml:space="preserve">   抓取所有界面文本作为key，去重并放入UIString文件中。</t>
    <phoneticPr fontId="5" type="noConversion"/>
  </si>
  <si>
    <t xml:space="preserve">   导出配置后，将所有配置中的lang字段内容抓取后，去重放入language文件中。</t>
    <phoneticPr fontId="5" type="noConversion"/>
  </si>
  <si>
    <t xml:space="preserve">   将其他语言以简体文本作为key，替换所有配置中的lang字段内容并使用。</t>
    <phoneticPr fontId="5" type="noConversion"/>
  </si>
  <si>
    <t xml:space="preserve">   文本多次修改后留存的历史数据。（解决方案，替换lang文件时，标记每个文本的使用次数，去除0使用的文本。）</t>
    <phoneticPr fontId="5" type="noConversion"/>
  </si>
  <si>
    <t>]</t>
    <phoneticPr fontId="5" type="noConversion"/>
  </si>
  <si>
    <t>doubleArray:3:[</t>
    <phoneticPr fontId="5" type="noConversion"/>
  </si>
  <si>
    <t>String</t>
    <phoneticPr fontId="5" type="noConversion"/>
  </si>
  <si>
    <t>res</t>
    <phoneticPr fontId="5" type="noConversion"/>
  </si>
  <si>
    <t>资源</t>
    <phoneticPr fontId="5" type="noConversion"/>
  </si>
  <si>
    <t>skdnrkwn</t>
    <phoneticPr fontId="5" type="noConversion"/>
  </si>
  <si>
    <t>int</t>
    <phoneticPr fontId="5" type="noConversion"/>
  </si>
  <si>
    <t>newres</t>
    <phoneticPr fontId="5" type="noConversion"/>
  </si>
  <si>
    <t>数字资源id</t>
    <phoneticPr fontId="5" type="noConversion"/>
  </si>
  <si>
    <t xml:space="preserve">   使用jenkins发布线上数据时，在服务器备份一份excel用于之后回滚。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</si>
</sst>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rgb="FFFF0000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3" borderId="1" xfId="0" applyFill="1" applyBorder="1">
      <alignment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2" xfId="0" applyFill="1" applyBorder="1">
      <alignment vertical="center"/>
    </xf>
    <xf numFmtId="0" fontId="0" fillId="0" borderId="0" xfId="0" applyFill="1" applyBorder="1">
      <alignment vertical="center"/>
    </xf>
    <xf numFmtId="0" fontId="0" fillId="0" borderId="4" xfId="0" applyFill="1" applyBorder="1">
      <alignment vertical="center"/>
    </xf>
    <xf numFmtId="0" fontId="0" fillId="0" borderId="3" xfId="0" applyFill="1" applyBorder="1">
      <alignment vertical="center"/>
    </xf>
    <xf numFmtId="0" fontId="0" fillId="0" borderId="3" xfId="0" applyNumberFormat="1" applyFill="1" applyBorder="1">
      <alignment vertical="center"/>
    </xf>
    <xf numFmtId="0" fontId="6" fillId="2" borderId="0" xfId="0" applyFont="1" applyFill="1">
      <alignment vertical="center"/>
    </xf>
    <xf numFmtId="0" fontId="8" fillId="0" borderId="0" xfId="0" applyFont="1" applyFill="1">
      <alignment vertical="center"/>
    </xf>
    <xf numFmtId="0" fontId="8" fillId="2" borderId="0" xfId="0" applyFont="1" applyFill="1">
      <alignment vertical="center"/>
    </xf>
    <xf numFmtId="0" fontId="0" fillId="2" borderId="5" xfId="0" applyFill="1" applyBorder="1">
      <alignment vertical="center"/>
    </xf>
    <xf numFmtId="0" fontId="0" fillId="2" borderId="0" xfId="0" applyFill="1" applyBorder="1">
      <alignment vertical="center"/>
    </xf>
  </cellXfs>
  <cellStyles count="15">
    <cellStyle name="常规" xfId="0" builtinId="0"/>
    <cellStyle name="常规 2" xfId="1"/>
    <cellStyle name="常规 2 2" xfId="5"/>
    <cellStyle name="常规 2 2 2" xfId="13"/>
    <cellStyle name="常规 2 3" xfId="10"/>
    <cellStyle name="常规 3" xfId="2"/>
    <cellStyle name="常规 3 2" xfId="6"/>
    <cellStyle name="常规 3 2 2" xfId="14"/>
    <cellStyle name="常规 3 3" xfId="11"/>
    <cellStyle name="常规 4" xfId="7"/>
    <cellStyle name="常规 5" xfId="4"/>
    <cellStyle name="常规 6" xfId="3"/>
    <cellStyle name="常规 6 2" xfId="12"/>
    <cellStyle name="常规 7" xfId="9"/>
    <cellStyle name="常规 8" xfId="8"/>
  </cellStyles>
  <dxfs count="44"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/>
        <bottom/>
        <vertical/>
        <horizontal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B9B9"/>
      <color rgb="FFFF9933"/>
      <color rgb="FFFF6600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9525</xdr:rowOff>
    </xdr:from>
    <xdr:to>
      <xdr:col>6</xdr:col>
      <xdr:colOff>570857</xdr:colOff>
      <xdr:row>41</xdr:row>
      <xdr:rowOff>122815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38175"/>
          <a:ext cx="5142857" cy="80761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55</xdr:row>
      <xdr:rowOff>47625</xdr:rowOff>
    </xdr:from>
    <xdr:to>
      <xdr:col>6</xdr:col>
      <xdr:colOff>21750</xdr:colOff>
      <xdr:row>103</xdr:row>
      <xdr:rowOff>47625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382375"/>
          <a:ext cx="4593750" cy="100584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leach/&#31574;&#21010;/&#25968;&#20540;/&#12298;bleach&#12299;&#25968;&#20540;&#29983;&#25104;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"/>
      <sheetName val="经济参数"/>
      <sheetName val="人物数据"/>
      <sheetName val="每日产出"/>
      <sheetName val="炼金机计算"/>
      <sheetName val="战斗参数"/>
      <sheetName val="斩魄刀排布"/>
      <sheetName val="活动奖励"/>
      <sheetName val="templateData"/>
      <sheetName val="blade"/>
      <sheetName val="strength"/>
      <sheetName val="soul"/>
      <sheetName val="soulLink"/>
      <sheetName val="skill"/>
      <sheetName val="bullet"/>
      <sheetName val="role"/>
      <sheetName val="dress"/>
      <sheetName val="lockKont"/>
      <sheetName val="soulCore"/>
      <sheetName val="liberation"/>
      <sheetName val="exp"/>
      <sheetName val="battleBuff"/>
      <sheetName val="townBuff"/>
      <sheetName val="dungeon"/>
      <sheetName val="quest"/>
      <sheetName val="monster"/>
      <sheetName val="item"/>
      <sheetName val="pack"/>
      <sheetName val="resource"/>
      <sheetName val="vip"/>
      <sheetName val="monthCheck"/>
      <sheetName val="randomProb"/>
      <sheetName val="soulFight"/>
      <sheetName val="Sheet1"/>
    </sheetNames>
    <sheetDataSet>
      <sheetData sheetId="0"/>
      <sheetData sheetId="1">
        <row r="4">
          <cell r="F4">
            <v>1000</v>
          </cell>
          <cell r="I4">
            <v>1000</v>
          </cell>
        </row>
      </sheetData>
      <sheetData sheetId="2"/>
      <sheetData sheetId="3">
        <row r="109">
          <cell r="V109">
            <v>2.5</v>
          </cell>
        </row>
        <row r="124">
          <cell r="W124">
            <v>1</v>
          </cell>
        </row>
      </sheetData>
      <sheetData sheetId="4">
        <row r="13">
          <cell r="H13">
            <v>44.12</v>
          </cell>
        </row>
      </sheetData>
      <sheetData sheetId="5">
        <row r="8">
          <cell r="E8">
            <v>400</v>
          </cell>
        </row>
        <row r="9">
          <cell r="E9">
            <v>80</v>
          </cell>
        </row>
        <row r="10">
          <cell r="E10">
            <v>200</v>
          </cell>
        </row>
        <row r="11">
          <cell r="E11">
            <v>80</v>
          </cell>
        </row>
        <row r="12">
          <cell r="E12">
            <v>80</v>
          </cell>
        </row>
        <row r="13">
          <cell r="E13">
            <v>80</v>
          </cell>
          <cell r="H13">
            <v>44.12</v>
          </cell>
          <cell r="J13" t="str">
            <v>CP</v>
          </cell>
        </row>
        <row r="20">
          <cell r="E20">
            <v>10</v>
          </cell>
        </row>
        <row r="24">
          <cell r="E24">
            <v>240</v>
          </cell>
        </row>
        <row r="25">
          <cell r="G25">
            <v>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tables/table1.xml><?xml version="1.0" encoding="utf-8"?>
<table xmlns="http://schemas.openxmlformats.org/spreadsheetml/2006/main" id="10" name="表10" displayName="表10" ref="A3:T10" totalsRowShown="0" headerRowDxfId="41" dataDxfId="40">
  <sortState ref="A4:AQ47">
    <sortCondition ref="B3:B47"/>
  </sortState>
  <tableColumns count="20">
    <tableColumn id="1" name="#" dataDxfId="39">
      <calculatedColumnFormula>IF(COUNTIF(B:B,B4)&gt;1,"重复ID","")</calculatedColumnFormula>
    </tableColumn>
    <tableColumn id="2" name="ID" dataDxfId="38"/>
    <tableColumn id="4" name="名称" dataDxfId="37"/>
    <tableColumn id="6" name="描述" dataDxfId="36"/>
    <tableColumn id="20" name="资源" dataDxfId="35"/>
    <tableColumn id="21" name="数字资源id" dataDxfId="34"/>
    <tableColumn id="28" name="数值" dataDxfId="33"/>
    <tableColumn id="3" name="布尔" dataDxfId="32"/>
    <tableColumn id="19" name="策划用" dataDxfId="31"/>
    <tableColumn id="7" name="数组[0]" dataDxfId="30"/>
    <tableColumn id="8" name="数组[1]" dataDxfId="29"/>
    <tableColumn id="5" name="数组[2]" dataDxfId="28"/>
    <tableColumn id="15" name="一维数组" dataDxfId="27">
      <calculatedColumnFormula>v_RowToArrStr(J4:L4)</calculatedColumnFormula>
    </tableColumn>
    <tableColumn id="14" name="数组[0,0]" dataDxfId="26"/>
    <tableColumn id="13" name="数组[0,1]" dataDxfId="25"/>
    <tableColumn id="12" name="数组[0,2]" dataDxfId="24"/>
    <tableColumn id="11" name="数组[1,0]" dataDxfId="23"/>
    <tableColumn id="10" name="数组[1,1]" dataDxfId="22"/>
    <tableColumn id="9" name="数组[1,2]" dataDxfId="21"/>
    <tableColumn id="32" name="二维数组" dataDxfId="20">
      <calculatedColumnFormula>"["&amp;v_RowToArrStr(N4:P4)&amp;","&amp;v_RowToArrStr(Q4:S4)&amp;"]"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0_2" displayName="表10_2" ref="A3:C7" totalsRowShown="0" headerRowDxfId="15" dataDxfId="14">
  <sortState ref="A4:AQ47">
    <sortCondition ref="A3:A47"/>
  </sortState>
  <tableColumns count="3">
    <tableColumn id="2" name="索引文本" dataDxfId="13"/>
    <tableColumn id="4" name="模块" dataDxfId="12"/>
    <tableColumn id="6" name="内容" dataDxfId="1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2" name="表10_23" displayName="表10_23" ref="A3:B18" totalsRowShown="0" headerRowDxfId="8" dataDxfId="7">
  <sortState ref="A4:AQ47">
    <sortCondition ref="A3:A47"/>
  </sortState>
  <tableColumns count="2">
    <tableColumn id="2" name="简体语言" dataDxfId="6"/>
    <tableColumn id="19" name="实际使用" dataDxfId="5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10_234" displayName="表10_234" ref="A3:C18" totalsRowShown="0" headerRowDxfId="4" dataDxfId="3">
  <sortState ref="A4:AQ47">
    <sortCondition ref="A3:A47"/>
  </sortState>
  <tableColumns count="3">
    <tableColumn id="2" name="简体语言" dataDxfId="2"/>
    <tableColumn id="20" name="字符长度" dataDxfId="1"/>
    <tableColumn id="19" name="语言内容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11"/>
  <sheetViews>
    <sheetView topLeftCell="A34" workbookViewId="0">
      <selection activeCell="A47" sqref="A47"/>
    </sheetView>
  </sheetViews>
  <sheetFormatPr defaultRowHeight="16.5" x14ac:dyDescent="0.3"/>
  <cols>
    <col min="1" max="16384" width="8.88671875" style="1"/>
  </cols>
  <sheetData>
    <row r="1" spans="1:1" x14ac:dyDescent="0.3">
      <c r="A1" s="12" t="s">
        <v>34</v>
      </c>
    </row>
    <row r="3" spans="1:1" x14ac:dyDescent="0.3">
      <c r="A3" s="12" t="s">
        <v>47</v>
      </c>
    </row>
    <row r="43" spans="1:1" x14ac:dyDescent="0.3">
      <c r="A43" s="12" t="s">
        <v>52</v>
      </c>
    </row>
    <row r="44" spans="1:1" x14ac:dyDescent="0.3">
      <c r="A44" s="1" t="s">
        <v>53</v>
      </c>
    </row>
    <row r="45" spans="1:1" x14ac:dyDescent="0.3">
      <c r="A45" s="1" t="s">
        <v>56</v>
      </c>
    </row>
    <row r="46" spans="1:1" x14ac:dyDescent="0.3">
      <c r="A46" s="1" t="s">
        <v>57</v>
      </c>
    </row>
    <row r="47" spans="1:1" x14ac:dyDescent="0.3">
      <c r="A47" s="1" t="s">
        <v>119</v>
      </c>
    </row>
    <row r="49" spans="1:1" x14ac:dyDescent="0.3">
      <c r="A49" s="12" t="s">
        <v>50</v>
      </c>
    </row>
    <row r="50" spans="1:1" x14ac:dyDescent="0.3">
      <c r="A50" s="1" t="s">
        <v>48</v>
      </c>
    </row>
    <row r="51" spans="1:1" x14ac:dyDescent="0.3">
      <c r="A51" s="1" t="s">
        <v>49</v>
      </c>
    </row>
    <row r="52" spans="1:1" x14ac:dyDescent="0.3">
      <c r="A52" s="1" t="s">
        <v>51</v>
      </c>
    </row>
    <row r="53" spans="1:1" s="15" customFormat="1" ht="17.25" thickBot="1" x14ac:dyDescent="0.35"/>
    <row r="54" spans="1:1" s="16" customFormat="1" ht="17.25" thickTop="1" x14ac:dyDescent="0.3"/>
    <row r="55" spans="1:1" x14ac:dyDescent="0.3">
      <c r="A55" s="12" t="s">
        <v>46</v>
      </c>
    </row>
    <row r="105" spans="1:1" x14ac:dyDescent="0.3">
      <c r="A105" s="12" t="s">
        <v>52</v>
      </c>
    </row>
    <row r="106" spans="1:1" x14ac:dyDescent="0.3">
      <c r="A106" s="1" t="s">
        <v>106</v>
      </c>
    </row>
    <row r="107" spans="1:1" x14ac:dyDescent="0.3">
      <c r="A107" s="1" t="s">
        <v>107</v>
      </c>
    </row>
    <row r="108" spans="1:1" x14ac:dyDescent="0.3">
      <c r="A108" s="1" t="s">
        <v>108</v>
      </c>
    </row>
    <row r="110" spans="1:1" x14ac:dyDescent="0.3">
      <c r="A110" s="12" t="s">
        <v>50</v>
      </c>
    </row>
    <row r="111" spans="1:1" x14ac:dyDescent="0.3">
      <c r="A111" s="1" t="s">
        <v>109</v>
      </c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T10"/>
  <sheetViews>
    <sheetView tabSelected="1" zoomScaleNormal="100" workbookViewId="0">
      <pane xSplit="3" ySplit="3" topLeftCell="D4" activePane="bottomRight" state="frozen"/>
      <selection pane="topRight" activeCell="E1" sqref="E1"/>
      <selection pane="bottomLeft" activeCell="A4" sqref="A4"/>
      <selection pane="bottomRight" activeCell="G6" sqref="G6"/>
    </sheetView>
  </sheetViews>
  <sheetFormatPr defaultRowHeight="16.5" x14ac:dyDescent="0.3"/>
  <cols>
    <col min="1" max="1" width="4.33203125" style="4" customWidth="1"/>
    <col min="2" max="2" width="9.5546875" style="1" bestFit="1" customWidth="1"/>
    <col min="3" max="3" width="8.44140625" style="1" customWidth="1"/>
    <col min="4" max="4" width="11.21875" style="1" bestFit="1" customWidth="1"/>
    <col min="5" max="6" width="11.21875" style="1" customWidth="1"/>
    <col min="7" max="7" width="5.77734375" style="1" bestFit="1" customWidth="1"/>
    <col min="8" max="9" width="9.44140625" style="1" customWidth="1"/>
    <col min="10" max="10" width="11.109375" style="1" customWidth="1"/>
    <col min="11" max="11" width="12" style="1" customWidth="1"/>
    <col min="12" max="13" width="12.109375" style="1" customWidth="1"/>
    <col min="14" max="14" width="13.5546875" style="1" bestFit="1" customWidth="1"/>
    <col min="15" max="19" width="9.44140625" style="1" customWidth="1"/>
    <col min="20" max="20" width="22.88671875" style="1" bestFit="1" customWidth="1"/>
    <col min="21" max="16384" width="8.88671875" style="1"/>
  </cols>
  <sheetData>
    <row r="1" spans="1:20" x14ac:dyDescent="0.3">
      <c r="A1" s="6" t="s">
        <v>0</v>
      </c>
      <c r="B1" s="3" t="s">
        <v>8</v>
      </c>
      <c r="C1" s="3" t="s">
        <v>11</v>
      </c>
      <c r="D1" s="3" t="s">
        <v>11</v>
      </c>
      <c r="E1" s="3" t="s">
        <v>112</v>
      </c>
      <c r="F1" s="3" t="s">
        <v>116</v>
      </c>
      <c r="G1" s="3" t="s">
        <v>10</v>
      </c>
      <c r="H1" s="3" t="s">
        <v>31</v>
      </c>
      <c r="I1" s="3" t="s">
        <v>61</v>
      </c>
      <c r="J1" s="3" t="s">
        <v>31</v>
      </c>
      <c r="K1" s="3" t="s">
        <v>31</v>
      </c>
      <c r="L1" s="3" t="s">
        <v>31</v>
      </c>
      <c r="M1" s="3" t="s">
        <v>3</v>
      </c>
      <c r="N1" s="3" t="s">
        <v>31</v>
      </c>
      <c r="O1" s="3" t="s">
        <v>31</v>
      </c>
      <c r="P1" s="3" t="s">
        <v>31</v>
      </c>
      <c r="Q1" s="3" t="s">
        <v>31</v>
      </c>
      <c r="R1" s="3" t="s">
        <v>31</v>
      </c>
      <c r="S1" s="3" t="s">
        <v>31</v>
      </c>
      <c r="T1" s="3" t="s">
        <v>9</v>
      </c>
    </row>
    <row r="2" spans="1:20" x14ac:dyDescent="0.3">
      <c r="A2" s="6" t="s">
        <v>1</v>
      </c>
      <c r="B2" s="3" t="s">
        <v>4</v>
      </c>
      <c r="C2" s="3" t="s">
        <v>27</v>
      </c>
      <c r="D2" s="3" t="s">
        <v>28</v>
      </c>
      <c r="E2" s="3" t="s">
        <v>113</v>
      </c>
      <c r="F2" s="3" t="s">
        <v>117</v>
      </c>
      <c r="G2" s="3" t="s">
        <v>23</v>
      </c>
      <c r="H2" s="3" t="s">
        <v>32</v>
      </c>
      <c r="I2" s="3" t="s">
        <v>61</v>
      </c>
      <c r="J2" s="3" t="s">
        <v>35</v>
      </c>
      <c r="K2" s="3"/>
      <c r="L2" s="3" t="s">
        <v>36</v>
      </c>
      <c r="M2" s="3" t="s">
        <v>25</v>
      </c>
      <c r="N2" s="3" t="s">
        <v>111</v>
      </c>
      <c r="O2" s="3"/>
      <c r="P2" s="3"/>
      <c r="Q2" s="3"/>
      <c r="R2" s="3"/>
      <c r="S2" s="3" t="s">
        <v>110</v>
      </c>
      <c r="T2" s="3" t="s">
        <v>26</v>
      </c>
    </row>
    <row r="3" spans="1:20" x14ac:dyDescent="0.3">
      <c r="A3" s="5" t="s">
        <v>2</v>
      </c>
      <c r="B3" s="2" t="s">
        <v>5</v>
      </c>
      <c r="C3" s="2" t="s">
        <v>6</v>
      </c>
      <c r="D3" s="2" t="s">
        <v>7</v>
      </c>
      <c r="E3" s="2" t="s">
        <v>114</v>
      </c>
      <c r="F3" s="2" t="s">
        <v>118</v>
      </c>
      <c r="G3" s="2" t="s">
        <v>24</v>
      </c>
      <c r="H3" s="2" t="s">
        <v>33</v>
      </c>
      <c r="I3" s="2" t="s">
        <v>99</v>
      </c>
      <c r="J3" s="2" t="s">
        <v>37</v>
      </c>
      <c r="K3" s="2" t="s">
        <v>38</v>
      </c>
      <c r="L3" s="2" t="s">
        <v>39</v>
      </c>
      <c r="M3" s="2" t="s">
        <v>29</v>
      </c>
      <c r="N3" s="2" t="s">
        <v>40</v>
      </c>
      <c r="O3" s="2" t="s">
        <v>41</v>
      </c>
      <c r="P3" s="2" t="s">
        <v>42</v>
      </c>
      <c r="Q3" s="2" t="s">
        <v>43</v>
      </c>
      <c r="R3" s="2" t="s">
        <v>44</v>
      </c>
      <c r="S3" s="2" t="s">
        <v>45</v>
      </c>
      <c r="T3" s="2" t="s">
        <v>30</v>
      </c>
    </row>
    <row r="4" spans="1:20" x14ac:dyDescent="0.3">
      <c r="A4" s="5">
        <v>1.1000000000000001</v>
      </c>
      <c r="B4" s="2">
        <v>12101001</v>
      </c>
      <c r="C4" s="2" t="s">
        <v>12</v>
      </c>
      <c r="D4" s="2" t="s">
        <v>17</v>
      </c>
      <c r="E4" s="2" t="s">
        <v>115</v>
      </c>
      <c r="F4" s="2">
        <v>3894829</v>
      </c>
      <c r="G4" s="2">
        <v>100</v>
      </c>
      <c r="H4" s="2">
        <v>1</v>
      </c>
      <c r="I4" s="2" t="s">
        <v>100</v>
      </c>
      <c r="J4" s="7">
        <v>1</v>
      </c>
      <c r="K4" s="8">
        <v>2</v>
      </c>
      <c r="L4" s="9">
        <v>3</v>
      </c>
      <c r="M4" s="10" t="str">
        <f>v_RowToArrStr(J4:L4)</f>
        <v>[1,2,3]</v>
      </c>
      <c r="N4" s="2">
        <v>1</v>
      </c>
      <c r="O4" s="2">
        <v>2</v>
      </c>
      <c r="P4" s="2">
        <v>3</v>
      </c>
      <c r="Q4" s="2">
        <v>4</v>
      </c>
      <c r="R4" s="2">
        <v>5</v>
      </c>
      <c r="S4" s="9">
        <v>6</v>
      </c>
      <c r="T4" s="11" t="str">
        <f t="shared" ref="T4:T10" si="0">"["&amp;v_RowToArrStr(N4:P4)&amp;","&amp;v_RowToArrStr(Q4:S4)&amp;"]"</f>
        <v>[[1,2,3],[4,5,6]]</v>
      </c>
    </row>
    <row r="5" spans="1:20" x14ac:dyDescent="0.3">
      <c r="A5" s="5">
        <v>1.1000000000000001</v>
      </c>
      <c r="B5" s="2">
        <v>12101002</v>
      </c>
      <c r="C5" s="2" t="s">
        <v>13</v>
      </c>
      <c r="D5" s="2" t="s">
        <v>18</v>
      </c>
      <c r="E5" s="2" t="s">
        <v>115</v>
      </c>
      <c r="F5" s="2">
        <v>3894829</v>
      </c>
      <c r="G5" s="2">
        <v>100</v>
      </c>
      <c r="H5" s="2">
        <v>0</v>
      </c>
      <c r="I5" s="2" t="s">
        <v>100</v>
      </c>
      <c r="J5" s="7">
        <v>4</v>
      </c>
      <c r="K5" s="8">
        <v>5</v>
      </c>
      <c r="L5" s="9">
        <v>6</v>
      </c>
      <c r="M5" s="10" t="str">
        <f t="shared" ref="M5:M10" si="1">v_RowToArrStr(J5:L5)</f>
        <v>[4,5,6]</v>
      </c>
      <c r="N5" s="2">
        <v>7</v>
      </c>
      <c r="O5" s="2">
        <v>8</v>
      </c>
      <c r="P5" s="2">
        <v>9</v>
      </c>
      <c r="Q5" s="2">
        <v>10</v>
      </c>
      <c r="R5" s="2">
        <v>11</v>
      </c>
      <c r="S5" s="9">
        <v>12</v>
      </c>
      <c r="T5" s="11" t="str">
        <f t="shared" si="0"/>
        <v>[[7,8,9],[10,11,12]]</v>
      </c>
    </row>
    <row r="6" spans="1:20" x14ac:dyDescent="0.3">
      <c r="A6" s="5">
        <v>1.1000000000000001</v>
      </c>
      <c r="B6" s="2">
        <v>12101003</v>
      </c>
      <c r="C6" s="2" t="s">
        <v>14</v>
      </c>
      <c r="D6" s="2" t="s">
        <v>19</v>
      </c>
      <c r="E6" s="2" t="s">
        <v>115</v>
      </c>
      <c r="F6" s="2">
        <v>3894829</v>
      </c>
      <c r="G6" s="2">
        <v>100</v>
      </c>
      <c r="H6" s="2">
        <v>1</v>
      </c>
      <c r="I6" s="2" t="s">
        <v>100</v>
      </c>
      <c r="J6" s="7">
        <v>7</v>
      </c>
      <c r="K6" s="8">
        <v>8</v>
      </c>
      <c r="L6" s="9">
        <v>9</v>
      </c>
      <c r="M6" s="10" t="str">
        <f t="shared" si="1"/>
        <v>[7,8,9]</v>
      </c>
      <c r="N6" s="2">
        <v>13</v>
      </c>
      <c r="O6" s="2">
        <v>14</v>
      </c>
      <c r="P6" s="2">
        <v>15</v>
      </c>
      <c r="Q6" s="2">
        <v>16</v>
      </c>
      <c r="R6" s="2">
        <v>17</v>
      </c>
      <c r="S6" s="9">
        <v>18</v>
      </c>
      <c r="T6" s="11" t="str">
        <f t="shared" si="0"/>
        <v>[[13,14,15],[16,17,18]]</v>
      </c>
    </row>
    <row r="7" spans="1:20" x14ac:dyDescent="0.3">
      <c r="A7" s="5">
        <v>1.2</v>
      </c>
      <c r="B7" s="2">
        <v>12101003</v>
      </c>
      <c r="C7" s="2" t="s">
        <v>14</v>
      </c>
      <c r="D7" s="2" t="s">
        <v>22</v>
      </c>
      <c r="E7" s="2" t="s">
        <v>115</v>
      </c>
      <c r="F7" s="2">
        <v>3894829</v>
      </c>
      <c r="G7" s="2">
        <v>101</v>
      </c>
      <c r="H7" s="2">
        <v>1</v>
      </c>
      <c r="I7" s="2" t="s">
        <v>100</v>
      </c>
      <c r="J7" s="7">
        <v>10</v>
      </c>
      <c r="K7" s="8">
        <v>11</v>
      </c>
      <c r="L7" s="9">
        <v>12</v>
      </c>
      <c r="M7" s="10" t="str">
        <f t="shared" si="1"/>
        <v>[10,11,12]</v>
      </c>
      <c r="N7" s="2">
        <v>19</v>
      </c>
      <c r="O7" s="2">
        <v>20</v>
      </c>
      <c r="P7" s="2">
        <v>21</v>
      </c>
      <c r="Q7" s="2">
        <v>22</v>
      </c>
      <c r="R7" s="2">
        <v>23</v>
      </c>
      <c r="S7" s="9">
        <v>24</v>
      </c>
      <c r="T7" s="11" t="str">
        <f t="shared" si="0"/>
        <v>[[19,20,21],[22,23,24]]</v>
      </c>
    </row>
    <row r="8" spans="1:20" x14ac:dyDescent="0.3">
      <c r="A8" s="4">
        <v>1.3</v>
      </c>
      <c r="B8" s="2">
        <v>12101003</v>
      </c>
      <c r="C8" s="2" t="s">
        <v>55</v>
      </c>
      <c r="D8" s="2" t="s">
        <v>22</v>
      </c>
      <c r="E8" s="2" t="s">
        <v>115</v>
      </c>
      <c r="F8" s="2">
        <v>3894829</v>
      </c>
      <c r="G8" s="2">
        <v>102</v>
      </c>
      <c r="H8" s="2">
        <v>1</v>
      </c>
      <c r="I8" s="2" t="s">
        <v>100</v>
      </c>
      <c r="J8" s="7">
        <v>10</v>
      </c>
      <c r="K8" s="8">
        <v>11</v>
      </c>
      <c r="L8" s="9">
        <v>12</v>
      </c>
      <c r="M8" s="10" t="str">
        <f>v_RowToArrStr(J8:L8)</f>
        <v>[10,11,12]</v>
      </c>
      <c r="N8" s="2">
        <v>19</v>
      </c>
      <c r="O8" s="2">
        <v>20</v>
      </c>
      <c r="P8" s="2">
        <v>21</v>
      </c>
      <c r="Q8" s="2">
        <v>22</v>
      </c>
      <c r="R8" s="2">
        <v>23</v>
      </c>
      <c r="S8" s="9">
        <v>24</v>
      </c>
      <c r="T8" s="11" t="str">
        <f t="shared" si="0"/>
        <v>[[19,20,21],[22,23,24]]</v>
      </c>
    </row>
    <row r="9" spans="1:20" x14ac:dyDescent="0.3">
      <c r="A9" s="5">
        <v>1.2</v>
      </c>
      <c r="B9" s="2">
        <v>12101004</v>
      </c>
      <c r="C9" s="2" t="s">
        <v>15</v>
      </c>
      <c r="D9" s="2" t="s">
        <v>20</v>
      </c>
      <c r="E9" s="2" t="s">
        <v>115</v>
      </c>
      <c r="F9" s="2">
        <v>3894829</v>
      </c>
      <c r="G9" s="2">
        <v>100</v>
      </c>
      <c r="H9" s="2">
        <v>1</v>
      </c>
      <c r="I9" s="2" t="s">
        <v>100</v>
      </c>
      <c r="J9" s="7">
        <v>13</v>
      </c>
      <c r="K9" s="8">
        <v>14</v>
      </c>
      <c r="L9" s="9">
        <v>15</v>
      </c>
      <c r="M9" s="10" t="str">
        <f t="shared" si="1"/>
        <v>[13,14,15]</v>
      </c>
      <c r="N9" s="2">
        <v>25</v>
      </c>
      <c r="O9" s="2">
        <v>26</v>
      </c>
      <c r="P9" s="2">
        <v>27</v>
      </c>
      <c r="Q9" s="2">
        <v>28</v>
      </c>
      <c r="R9" s="2">
        <v>29</v>
      </c>
      <c r="S9" s="9">
        <v>30</v>
      </c>
      <c r="T9" s="11" t="str">
        <f t="shared" si="0"/>
        <v>[[25,26,27],[28,29,30]]</v>
      </c>
    </row>
    <row r="10" spans="1:20" x14ac:dyDescent="0.3">
      <c r="A10" s="5">
        <v>1.3</v>
      </c>
      <c r="B10" s="2">
        <v>12101005</v>
      </c>
      <c r="C10" s="2" t="s">
        <v>16</v>
      </c>
      <c r="D10" s="2" t="s">
        <v>21</v>
      </c>
      <c r="E10" s="2" t="s">
        <v>115</v>
      </c>
      <c r="F10" s="2">
        <v>78789</v>
      </c>
      <c r="G10" s="2">
        <v>100</v>
      </c>
      <c r="H10" s="2">
        <v>0</v>
      </c>
      <c r="I10" s="2" t="s">
        <v>100</v>
      </c>
      <c r="J10" s="7">
        <v>16</v>
      </c>
      <c r="K10" s="8">
        <v>17</v>
      </c>
      <c r="L10" s="9">
        <v>18</v>
      </c>
      <c r="M10" s="10" t="str">
        <f t="shared" si="1"/>
        <v>[16,17,18]</v>
      </c>
      <c r="N10" s="2">
        <v>31</v>
      </c>
      <c r="O10" s="2">
        <v>32</v>
      </c>
      <c r="P10" s="2">
        <v>33</v>
      </c>
      <c r="Q10" s="2">
        <v>34</v>
      </c>
      <c r="R10" s="2">
        <v>35</v>
      </c>
      <c r="S10" s="9">
        <v>36</v>
      </c>
      <c r="T10" s="11" t="str">
        <f t="shared" si="0"/>
        <v>[[31,32,33],[34,35,36]]</v>
      </c>
    </row>
  </sheetData>
  <phoneticPr fontId="5" type="noConversion"/>
  <conditionalFormatting sqref="A1:A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ntainsText" dxfId="43" priority="3" operator="containsText" text="重复ID">
      <formula>NOT(ISERROR(SEARCH("重复ID",A1)))</formula>
    </cfRule>
  </conditionalFormatting>
  <conditionalFormatting sqref="B3:B10">
    <cfRule type="duplicateValues" dxfId="42" priority="632"/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7"/>
  <sheetViews>
    <sheetView zoomScaleNormal="100" workbookViewId="0">
      <selection activeCell="E16" sqref="E16"/>
    </sheetView>
  </sheetViews>
  <sheetFormatPr defaultRowHeight="16.5" x14ac:dyDescent="0.3"/>
  <cols>
    <col min="1" max="1" width="16.77734375" style="1" customWidth="1"/>
    <col min="2" max="2" width="8.44140625" style="1" customWidth="1"/>
    <col min="3" max="3" width="20.88671875" style="1" bestFit="1" customWidth="1"/>
    <col min="4" max="16384" width="8.88671875" style="1"/>
  </cols>
  <sheetData>
    <row r="1" spans="1:4" x14ac:dyDescent="0.3">
      <c r="A1" s="3" t="s">
        <v>58</v>
      </c>
      <c r="B1" s="3" t="s">
        <v>61</v>
      </c>
      <c r="C1" s="3" t="s">
        <v>11</v>
      </c>
    </row>
    <row r="2" spans="1:4" x14ac:dyDescent="0.3">
      <c r="A2" s="3" t="s">
        <v>59</v>
      </c>
      <c r="B2" s="3" t="s">
        <v>62</v>
      </c>
      <c r="C2" s="3" t="s">
        <v>28</v>
      </c>
    </row>
    <row r="3" spans="1:4" x14ac:dyDescent="0.3">
      <c r="A3" s="2" t="s">
        <v>60</v>
      </c>
      <c r="B3" s="2" t="s">
        <v>63</v>
      </c>
      <c r="C3" s="2" t="s">
        <v>64</v>
      </c>
    </row>
    <row r="4" spans="1:4" x14ac:dyDescent="0.3">
      <c r="A4" s="2" t="s">
        <v>66</v>
      </c>
      <c r="B4" s="2" t="s">
        <v>67</v>
      </c>
      <c r="C4" s="2" t="s">
        <v>66</v>
      </c>
    </row>
    <row r="5" spans="1:4" x14ac:dyDescent="0.3">
      <c r="A5" s="2" t="s">
        <v>73</v>
      </c>
      <c r="B5" s="2" t="s">
        <v>67</v>
      </c>
      <c r="C5" s="2" t="s">
        <v>73</v>
      </c>
      <c r="D5" s="14" t="s">
        <v>74</v>
      </c>
    </row>
    <row r="6" spans="1:4" x14ac:dyDescent="0.3">
      <c r="A6" s="2" t="s">
        <v>69</v>
      </c>
      <c r="B6" s="2" t="s">
        <v>67</v>
      </c>
      <c r="C6" s="2" t="s">
        <v>69</v>
      </c>
    </row>
    <row r="7" spans="1:4" x14ac:dyDescent="0.3">
      <c r="A7" s="2" t="s">
        <v>71</v>
      </c>
      <c r="B7" s="2" t="s">
        <v>67</v>
      </c>
      <c r="C7" s="2" t="s">
        <v>71</v>
      </c>
    </row>
  </sheetData>
  <phoneticPr fontId="5" type="noConversion"/>
  <conditionalFormatting sqref="A3:A7">
    <cfRule type="duplicateValues" dxfId="19" priority="640"/>
  </conditionalFormatting>
  <conditionalFormatting sqref="C4">
    <cfRule type="duplicateValues" dxfId="18" priority="4"/>
  </conditionalFormatting>
  <conditionalFormatting sqref="C6:C7">
    <cfRule type="duplicateValues" dxfId="17" priority="3"/>
  </conditionalFormatting>
  <conditionalFormatting sqref="C5">
    <cfRule type="duplicateValues" dxfId="16" priority="1"/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activeCell="A5" sqref="A5"/>
    </sheetView>
  </sheetViews>
  <sheetFormatPr defaultRowHeight="16.5" x14ac:dyDescent="0.3"/>
  <cols>
    <col min="1" max="1" width="19.33203125" style="1" customWidth="1"/>
    <col min="2" max="2" width="20.44140625" style="1" hidden="1" customWidth="1"/>
    <col min="3" max="16384" width="8.88671875" style="1"/>
  </cols>
  <sheetData>
    <row r="1" spans="1:2" x14ac:dyDescent="0.3">
      <c r="A1" s="3" t="s">
        <v>58</v>
      </c>
      <c r="B1" s="3" t="s">
        <v>102</v>
      </c>
    </row>
    <row r="2" spans="1:2" x14ac:dyDescent="0.3">
      <c r="A2" s="3" t="s">
        <v>101</v>
      </c>
      <c r="B2" s="3" t="s">
        <v>103</v>
      </c>
    </row>
    <row r="3" spans="1:2" x14ac:dyDescent="0.3">
      <c r="A3" s="2" t="s">
        <v>82</v>
      </c>
      <c r="B3" s="2" t="s">
        <v>104</v>
      </c>
    </row>
    <row r="4" spans="1:2" x14ac:dyDescent="0.3">
      <c r="A4" s="2" t="s">
        <v>66</v>
      </c>
      <c r="B4" s="2" t="s">
        <v>65</v>
      </c>
    </row>
    <row r="5" spans="1:2" x14ac:dyDescent="0.3">
      <c r="A5" s="2" t="s">
        <v>73</v>
      </c>
      <c r="B5" s="2" t="s">
        <v>72</v>
      </c>
    </row>
    <row r="6" spans="1:2" x14ac:dyDescent="0.3">
      <c r="A6" s="2" t="s">
        <v>69</v>
      </c>
      <c r="B6" s="2" t="s">
        <v>68</v>
      </c>
    </row>
    <row r="7" spans="1:2" x14ac:dyDescent="0.3">
      <c r="A7" s="2" t="s">
        <v>71</v>
      </c>
      <c r="B7" s="2" t="s">
        <v>70</v>
      </c>
    </row>
    <row r="8" spans="1:2" x14ac:dyDescent="0.3">
      <c r="A8" s="2" t="s">
        <v>12</v>
      </c>
      <c r="B8" s="2" t="s">
        <v>76</v>
      </c>
    </row>
    <row r="9" spans="1:2" x14ac:dyDescent="0.3">
      <c r="A9" s="2" t="s">
        <v>13</v>
      </c>
      <c r="B9" s="2" t="s">
        <v>77</v>
      </c>
    </row>
    <row r="10" spans="1:2" x14ac:dyDescent="0.3">
      <c r="A10" s="2" t="s">
        <v>14</v>
      </c>
      <c r="B10" s="2" t="s">
        <v>54</v>
      </c>
    </row>
    <row r="11" spans="1:2" x14ac:dyDescent="0.3">
      <c r="A11" s="2" t="s">
        <v>15</v>
      </c>
      <c r="B11" s="2" t="s">
        <v>78</v>
      </c>
    </row>
    <row r="12" spans="1:2" x14ac:dyDescent="0.3">
      <c r="A12" s="2" t="s">
        <v>16</v>
      </c>
      <c r="B12" s="2" t="s">
        <v>79</v>
      </c>
    </row>
    <row r="13" spans="1:2" x14ac:dyDescent="0.3">
      <c r="A13" s="2" t="s">
        <v>17</v>
      </c>
      <c r="B13" s="2" t="s">
        <v>17</v>
      </c>
    </row>
    <row r="14" spans="1:2" x14ac:dyDescent="0.3">
      <c r="A14" s="2" t="s">
        <v>18</v>
      </c>
      <c r="B14" s="2" t="s">
        <v>18</v>
      </c>
    </row>
    <row r="15" spans="1:2" x14ac:dyDescent="0.3">
      <c r="A15" s="2" t="s">
        <v>19</v>
      </c>
      <c r="B15" s="2" t="s">
        <v>19</v>
      </c>
    </row>
    <row r="16" spans="1:2" x14ac:dyDescent="0.3">
      <c r="A16" s="2" t="s">
        <v>20</v>
      </c>
      <c r="B16" s="2" t="s">
        <v>20</v>
      </c>
    </row>
    <row r="17" spans="1:2" x14ac:dyDescent="0.3">
      <c r="A17" s="2" t="s">
        <v>21</v>
      </c>
      <c r="B17" s="2" t="s">
        <v>21</v>
      </c>
    </row>
    <row r="18" spans="1:2" x14ac:dyDescent="0.3">
      <c r="A18" s="13" t="s">
        <v>74</v>
      </c>
      <c r="B18" s="13" t="s">
        <v>105</v>
      </c>
    </row>
  </sheetData>
  <phoneticPr fontId="5" type="noConversion"/>
  <conditionalFormatting sqref="A3:A4 A6:A7">
    <cfRule type="duplicateValues" dxfId="10" priority="2"/>
  </conditionalFormatting>
  <conditionalFormatting sqref="A5">
    <cfRule type="duplicateValues" dxfId="9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8"/>
  <sheetViews>
    <sheetView workbookViewId="0">
      <selection activeCell="C26" sqref="C26"/>
    </sheetView>
  </sheetViews>
  <sheetFormatPr defaultRowHeight="16.5" x14ac:dyDescent="0.3"/>
  <cols>
    <col min="1" max="1" width="19.33203125" style="1" customWidth="1"/>
    <col min="2" max="2" width="8.21875" style="1" hidden="1" customWidth="1"/>
    <col min="3" max="3" width="37.21875" style="1" customWidth="1"/>
    <col min="4" max="16384" width="8.88671875" style="1"/>
  </cols>
  <sheetData>
    <row r="1" spans="1:3" x14ac:dyDescent="0.3">
      <c r="A1" s="3" t="s">
        <v>58</v>
      </c>
      <c r="B1" s="3" t="s">
        <v>61</v>
      </c>
      <c r="C1" s="3" t="s">
        <v>80</v>
      </c>
    </row>
    <row r="2" spans="1:3" x14ac:dyDescent="0.3">
      <c r="A2" s="3" t="s">
        <v>101</v>
      </c>
      <c r="B2" s="3" t="s">
        <v>98</v>
      </c>
      <c r="C2" s="3" t="s">
        <v>81</v>
      </c>
    </row>
    <row r="3" spans="1:3" x14ac:dyDescent="0.3">
      <c r="A3" s="2" t="s">
        <v>82</v>
      </c>
      <c r="B3" s="2" t="s">
        <v>97</v>
      </c>
      <c r="C3" s="2" t="s">
        <v>75</v>
      </c>
    </row>
    <row r="4" spans="1:3" x14ac:dyDescent="0.3">
      <c r="A4" s="2" t="s">
        <v>66</v>
      </c>
      <c r="B4" s="2">
        <v>24</v>
      </c>
      <c r="C4" s="2" t="s">
        <v>83</v>
      </c>
    </row>
    <row r="5" spans="1:3" x14ac:dyDescent="0.3">
      <c r="A5" s="2" t="s">
        <v>73</v>
      </c>
      <c r="B5" s="2">
        <v>18</v>
      </c>
      <c r="C5" s="2" t="s">
        <v>84</v>
      </c>
    </row>
    <row r="6" spans="1:3" x14ac:dyDescent="0.3">
      <c r="A6" s="2" t="s">
        <v>69</v>
      </c>
      <c r="B6" s="2">
        <v>8</v>
      </c>
      <c r="C6" s="2" t="s">
        <v>85</v>
      </c>
    </row>
    <row r="7" spans="1:3" x14ac:dyDescent="0.3">
      <c r="A7" s="2" t="s">
        <v>71</v>
      </c>
      <c r="B7" s="2">
        <v>8</v>
      </c>
      <c r="C7" s="2" t="s">
        <v>86</v>
      </c>
    </row>
    <row r="8" spans="1:3" x14ac:dyDescent="0.3">
      <c r="A8" s="2" t="s">
        <v>12</v>
      </c>
      <c r="B8" s="2">
        <v>6</v>
      </c>
      <c r="C8" s="2" t="s">
        <v>87</v>
      </c>
    </row>
    <row r="9" spans="1:3" x14ac:dyDescent="0.3">
      <c r="A9" s="2" t="s">
        <v>13</v>
      </c>
      <c r="B9" s="2">
        <v>6</v>
      </c>
      <c r="C9" s="2" t="s">
        <v>88</v>
      </c>
    </row>
    <row r="10" spans="1:3" x14ac:dyDescent="0.3">
      <c r="A10" s="2" t="s">
        <v>14</v>
      </c>
      <c r="B10" s="2">
        <v>6</v>
      </c>
      <c r="C10" s="2" t="s">
        <v>89</v>
      </c>
    </row>
    <row r="11" spans="1:3" x14ac:dyDescent="0.3">
      <c r="A11" s="2" t="s">
        <v>15</v>
      </c>
      <c r="B11" s="2">
        <v>6</v>
      </c>
      <c r="C11" s="2" t="s">
        <v>90</v>
      </c>
    </row>
    <row r="12" spans="1:3" x14ac:dyDescent="0.3">
      <c r="A12" s="2" t="s">
        <v>16</v>
      </c>
      <c r="B12" s="2">
        <v>6</v>
      </c>
      <c r="C12" s="2" t="s">
        <v>91</v>
      </c>
    </row>
    <row r="13" spans="1:3" x14ac:dyDescent="0.3">
      <c r="A13" s="2" t="s">
        <v>17</v>
      </c>
      <c r="B13" s="2">
        <v>12</v>
      </c>
      <c r="C13" s="2" t="s">
        <v>92</v>
      </c>
    </row>
    <row r="14" spans="1:3" x14ac:dyDescent="0.3">
      <c r="A14" s="2" t="s">
        <v>18</v>
      </c>
      <c r="B14" s="2">
        <v>12</v>
      </c>
      <c r="C14" s="2" t="s">
        <v>93</v>
      </c>
    </row>
    <row r="15" spans="1:3" x14ac:dyDescent="0.3">
      <c r="A15" s="2" t="s">
        <v>19</v>
      </c>
      <c r="B15" s="2">
        <v>12</v>
      </c>
      <c r="C15" s="2" t="s">
        <v>94</v>
      </c>
    </row>
    <row r="16" spans="1:3" x14ac:dyDescent="0.3">
      <c r="A16" s="2" t="s">
        <v>20</v>
      </c>
      <c r="B16" s="2">
        <v>12</v>
      </c>
      <c r="C16" s="2" t="s">
        <v>95</v>
      </c>
    </row>
    <row r="17" spans="1:3" x14ac:dyDescent="0.3">
      <c r="A17" s="2" t="s">
        <v>21</v>
      </c>
      <c r="B17" s="2">
        <v>12</v>
      </c>
      <c r="C17" s="2" t="s">
        <v>96</v>
      </c>
    </row>
    <row r="18" spans="1:3" x14ac:dyDescent="0.3">
      <c r="A18" s="13" t="s">
        <v>74</v>
      </c>
      <c r="B18" s="13">
        <v>22</v>
      </c>
      <c r="C18" s="13"/>
    </row>
  </sheetData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数据表规范</vt:lpstr>
      <vt:lpstr>item</vt:lpstr>
      <vt:lpstr>UIString</vt:lpstr>
      <vt:lpstr>language_cn</vt:lpstr>
      <vt:lpstr>language_en</vt:lpstr>
      <vt:lpstr>灵压比值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venjet</dc:creator>
  <cp:lastModifiedBy>venjet</cp:lastModifiedBy>
  <dcterms:created xsi:type="dcterms:W3CDTF">2014-06-05T02:22:09Z</dcterms:created>
  <dcterms:modified xsi:type="dcterms:W3CDTF">2017-08-10T09:11:06Z</dcterms:modified>
</cp:coreProperties>
</file>